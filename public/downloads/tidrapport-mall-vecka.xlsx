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drapport vecka" sheetId="1" state="visible" r:id="rId1"/>
  </sheets>
  <definedNames>
    <definedName name="_xlnm.Print_Area" localSheetId="0">'Tidrapport vecka'!$A$1:$H$26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#,##0.00 &quot;kr&quot;"/>
  </numFmts>
  <fonts count="7">
    <font>
      <name val="Calibri"/>
      <family val="2"/>
      <color theme="1"/>
      <sz val="11"/>
      <scheme val="minor"/>
    </font>
    <font>
      <b val="1"/>
      <color rgb="001F1B16"/>
      <sz val="18"/>
    </font>
    <font>
      <i val="1"/>
      <color rgb="006B645B"/>
    </font>
    <font>
      <b val="1"/>
    </font>
    <font>
      <b val="1"/>
      <color rgb="00FFFFFF"/>
    </font>
    <font/>
    <font>
      <i val="1"/>
      <color rgb="001976D2"/>
    </font>
  </fonts>
  <fills count="5">
    <fill>
      <patternFill/>
    </fill>
    <fill>
      <patternFill patternType="gray125"/>
    </fill>
    <fill>
      <patternFill patternType="solid">
        <fgColor rgb="00EAF2FB"/>
      </patternFill>
    </fill>
    <fill>
      <patternFill patternType="solid">
        <fgColor rgb="001976D2"/>
      </patternFill>
    </fill>
    <fill>
      <patternFill patternType="solid">
        <fgColor rgb="00F3EFE8"/>
      </patternFill>
    </fill>
  </fills>
  <borders count="5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  <border>
      <left/>
      <right/>
      <top style="thin">
        <color rgb="00C9C2B8"/>
      </top>
      <bottom/>
      <diagonal/>
    </border>
    <border>
      <left/>
      <right style="thin">
        <color rgb="00C9C2B8"/>
      </right>
      <top style="thin">
        <color rgb="00C9C2B8"/>
      </top>
      <bottom/>
      <diagonal/>
    </border>
    <border>
      <left/>
      <right style="thin">
        <color rgb="00C9C2B8"/>
      </right>
      <top style="thin">
        <color rgb="00C9C2B8"/>
      </top>
      <bottom style="thin">
        <color rgb="00C9C2B8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4" fontId="0" fillId="2" borderId="1" pivotButton="0" quotePrefix="0" xfId="0"/>
    <xf numFmtId="1" fontId="0" fillId="2" borderId="1" pivotButton="0" quotePrefix="0" xfId="0"/>
    <xf numFmtId="164" fontId="0" fillId="2" borderId="1" pivotButton="0" quotePrefix="0" xfId="0"/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2" fontId="3" fillId="4" borderId="1" applyAlignment="1" pivotButton="0" quotePrefix="0" xfId="0">
      <alignment horizontal="center"/>
    </xf>
    <xf numFmtId="0" fontId="3" fillId="4" borderId="1" pivotButton="0" quotePrefix="0" xfId="0"/>
    <xf numFmtId="0" fontId="5" fillId="0" borderId="0" pivotButton="0" quotePrefix="0" xfId="0"/>
    <xf numFmtId="166" fontId="5" fillId="0" borderId="1" pivotButton="0" quotePrefix="0" xfId="0"/>
    <xf numFmtId="166" fontId="3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1" customWidth="1" min="5" max="5"/>
    <col width="15" customWidth="1" min="6" max="6"/>
    <col width="13" customWidth="1" min="7" max="7"/>
    <col width="34" customWidth="1" min="8" max="8"/>
  </cols>
  <sheetData>
    <row r="1">
      <c r="A1" s="1" t="inlineStr">
        <is>
          <t>Tidrapport – vecka</t>
        </is>
      </c>
    </row>
    <row r="2">
      <c r="A2" s="2" t="inlineStr">
        <is>
          <t>Fyll i de ljusblå fälten. Timmar, summor och lön räknas ut automatiskt.</t>
        </is>
      </c>
    </row>
    <row r="4">
      <c r="A4" s="3" t="inlineStr">
        <is>
          <t>Namn</t>
        </is>
      </c>
      <c r="C4" s="4" t="n"/>
      <c r="D4" s="5" t="n"/>
      <c r="E4" s="3" t="inlineStr">
        <is>
          <t>Timlön (kr)</t>
        </is>
      </c>
      <c r="G4" s="6" t="n"/>
    </row>
    <row r="5">
      <c r="A5" s="3" t="inlineStr">
        <is>
          <t>Arbetsgivare</t>
        </is>
      </c>
      <c r="C5" s="4" t="n"/>
      <c r="D5" s="5" t="n"/>
      <c r="E5" s="3" t="inlineStr">
        <is>
          <t>OB-tillägg (%)</t>
        </is>
      </c>
      <c r="G5" s="7" t="n">
        <v>50</v>
      </c>
    </row>
    <row r="6">
      <c r="A6" s="3" t="inlineStr">
        <is>
          <t>Veckans måndag</t>
        </is>
      </c>
      <c r="C6" s="8" t="n"/>
      <c r="D6" s="5" t="n"/>
      <c r="E6" s="3" t="inlineStr">
        <is>
          <t>Vecka</t>
        </is>
      </c>
      <c r="G6" s="9">
        <f>IF(C6="","",ISOWEEKNUM(C6))</f>
        <v/>
      </c>
    </row>
    <row r="8" ht="30" customHeight="1">
      <c r="A8" s="10" t="inlineStr">
        <is>
          <t>Dag</t>
        </is>
      </c>
      <c r="B8" s="10" t="inlineStr">
        <is>
          <t>Datum</t>
        </is>
      </c>
      <c r="C8" s="10" t="inlineStr">
        <is>
          <t>Start</t>
        </is>
      </c>
      <c r="D8" s="10" t="inlineStr">
        <is>
          <t>Slut</t>
        </is>
      </c>
      <c r="E8" s="10" t="inlineStr">
        <is>
          <t>Rast (min)</t>
        </is>
      </c>
      <c r="F8" s="10" t="inlineStr">
        <is>
          <t>Arbetade timmar</t>
        </is>
      </c>
      <c r="G8" s="10" t="inlineStr">
        <is>
          <t>varav OB-tim</t>
        </is>
      </c>
      <c r="H8" s="10" t="inlineStr">
        <is>
          <t>Anteckning</t>
        </is>
      </c>
    </row>
    <row r="9">
      <c r="A9" s="11" t="inlineStr">
        <is>
          <t>Måndag</t>
        </is>
      </c>
      <c r="B9" s="12">
        <f>IF($C$6="","",$C$6+0)</f>
        <v/>
      </c>
      <c r="C9" s="13" t="n"/>
      <c r="D9" s="13" t="n"/>
      <c r="E9" s="14" t="n"/>
      <c r="F9" s="15">
        <f>IF(OR(C9="",D9=""),"",ROUND(MOD(D9-C9,1)*24-N(E9)/60,2))</f>
        <v/>
      </c>
      <c r="G9" s="16" t="n"/>
      <c r="H9" s="4" t="n"/>
    </row>
    <row r="10">
      <c r="A10" s="11" t="inlineStr">
        <is>
          <t>Tisdag</t>
        </is>
      </c>
      <c r="B10" s="12">
        <f>IF($C$6="","",$C$6+1)</f>
        <v/>
      </c>
      <c r="C10" s="13" t="n"/>
      <c r="D10" s="13" t="n"/>
      <c r="E10" s="14" t="n"/>
      <c r="F10" s="15">
        <f>IF(OR(C10="",D10=""),"",ROUND(MOD(D10-C10,1)*24-N(E10)/60,2))</f>
        <v/>
      </c>
      <c r="G10" s="16" t="n"/>
      <c r="H10" s="4" t="n"/>
    </row>
    <row r="11">
      <c r="A11" s="11" t="inlineStr">
        <is>
          <t>Onsdag</t>
        </is>
      </c>
      <c r="B11" s="12">
        <f>IF($C$6="","",$C$6+2)</f>
        <v/>
      </c>
      <c r="C11" s="13" t="n"/>
      <c r="D11" s="13" t="n"/>
      <c r="E11" s="14" t="n"/>
      <c r="F11" s="15">
        <f>IF(OR(C11="",D11=""),"",ROUND(MOD(D11-C11,1)*24-N(E11)/60,2))</f>
        <v/>
      </c>
      <c r="G11" s="16" t="n"/>
      <c r="H11" s="4" t="n"/>
    </row>
    <row r="12">
      <c r="A12" s="11" t="inlineStr">
        <is>
          <t>Torsdag</t>
        </is>
      </c>
      <c r="B12" s="12">
        <f>IF($C$6="","",$C$6+3)</f>
        <v/>
      </c>
      <c r="C12" s="13" t="n"/>
      <c r="D12" s="13" t="n"/>
      <c r="E12" s="14" t="n"/>
      <c r="F12" s="15">
        <f>IF(OR(C12="",D12=""),"",ROUND(MOD(D12-C12,1)*24-N(E12)/60,2))</f>
        <v/>
      </c>
      <c r="G12" s="16" t="n"/>
      <c r="H12" s="4" t="n"/>
    </row>
    <row r="13">
      <c r="A13" s="11" t="inlineStr">
        <is>
          <t>Fredag</t>
        </is>
      </c>
      <c r="B13" s="12">
        <f>IF($C$6="","",$C$6+4)</f>
        <v/>
      </c>
      <c r="C13" s="13" t="n"/>
      <c r="D13" s="13" t="n"/>
      <c r="E13" s="14" t="n"/>
      <c r="F13" s="15">
        <f>IF(OR(C13="",D13=""),"",ROUND(MOD(D13-C13,1)*24-N(E13)/60,2))</f>
        <v/>
      </c>
      <c r="G13" s="16" t="n"/>
      <c r="H13" s="4" t="n"/>
    </row>
    <row r="14">
      <c r="A14" s="11" t="inlineStr">
        <is>
          <t>Lördag</t>
        </is>
      </c>
      <c r="B14" s="12">
        <f>IF($C$6="","",$C$6+5)</f>
        <v/>
      </c>
      <c r="C14" s="13" t="n"/>
      <c r="D14" s="13" t="n"/>
      <c r="E14" s="14" t="n"/>
      <c r="F14" s="15">
        <f>IF(OR(C14="",D14=""),"",ROUND(MOD(D14-C14,1)*24-N(E14)/60,2))</f>
        <v/>
      </c>
      <c r="G14" s="16" t="n"/>
      <c r="H14" s="4" t="n"/>
    </row>
    <row r="15">
      <c r="A15" s="11" t="inlineStr">
        <is>
          <t>Söndag</t>
        </is>
      </c>
      <c r="B15" s="12">
        <f>IF($C$6="","",$C$6+6)</f>
        <v/>
      </c>
      <c r="C15" s="13" t="n"/>
      <c r="D15" s="13" t="n"/>
      <c r="E15" s="14" t="n"/>
      <c r="F15" s="15">
        <f>IF(OR(C15="",D15=""),"",ROUND(MOD(D15-C15,1)*24-N(E15)/60,2))</f>
        <v/>
      </c>
      <c r="G15" s="16" t="n"/>
      <c r="H15" s="4" t="n"/>
    </row>
    <row r="16">
      <c r="A16" s="17" t="inlineStr">
        <is>
          <t>Summa</t>
        </is>
      </c>
      <c r="B16" s="17" t="n"/>
      <c r="C16" s="17" t="n"/>
      <c r="D16" s="17" t="n"/>
      <c r="E16" s="17" t="n"/>
      <c r="F16" s="18">
        <f>SUM(F9:F15)</f>
        <v/>
      </c>
      <c r="G16" s="18">
        <f>SUM(G9:G15)</f>
        <v/>
      </c>
      <c r="H16" s="19" t="n"/>
    </row>
    <row r="18">
      <c r="A18" s="20" t="inlineStr">
        <is>
          <t>Grundlön (timmar × timlön)</t>
        </is>
      </c>
      <c r="F18" s="21">
        <f>IF($G$4="","",F16*$G$4)</f>
        <v/>
      </c>
    </row>
    <row r="19">
      <c r="A19" s="20" t="inlineStr">
        <is>
          <t>OB-tillägg (OB-tim × timlön × OB-%)</t>
        </is>
      </c>
      <c r="F19" s="21">
        <f>IF($G$4="","",G16*$G$4*$G$5/100)</f>
        <v/>
      </c>
    </row>
    <row r="20">
      <c r="A20" s="3" t="inlineStr">
        <is>
          <t>Summa före skatt</t>
        </is>
      </c>
      <c r="F20" s="22">
        <f>IF($G$4="","",F18+F19)</f>
        <v/>
      </c>
    </row>
    <row r="23">
      <c r="A23" t="inlineStr">
        <is>
          <t>Underskrift anställd: ______________________      Attesterat av: ______________________</t>
        </is>
      </c>
    </row>
    <row r="25">
      <c r="A25" s="2" t="inlineStr">
        <is>
          <t>Tips: skriv tider som 07:30 och 16:00. Slutar passet efter midnatt räknas det ändå rätt.</t>
        </is>
      </c>
    </row>
    <row r="26">
      <c r="A26" s="23" t="inlineStr">
        <is>
          <t>Slipp mallen: appen Tidrapportera räknar timmar, OB och lön automatiskt – alexanderbergqvist.com/tidrapport/</t>
        </is>
      </c>
    </row>
  </sheetData>
  <mergeCells count="6">
    <mergeCell ref="C6:D6"/>
    <mergeCell ref="A20:E20"/>
    <mergeCell ref="C5:D5"/>
    <mergeCell ref="A19:E19"/>
    <mergeCell ref="A18:E18"/>
    <mergeCell ref="C4:D4"/>
  </mergeCells>
  <dataValidations count="1">
    <dataValidation sqref="E9:E15" showDropDown="0" showInputMessage="0" showErrorMessage="0" allowBlank="1" errorTitle="Rast" error="Ange rast i minuter, t.ex. 30." type="decimal" operator="between">
      <formula1>0</formula1>
      <formula2>600</formula2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Bergqvist</dc:creator>
  <dc:title>Tidrapport mall – vecka</dc:title>
  <dcterms:created xsi:type="dcterms:W3CDTF">2026-09-30T18:59:42Z</dcterms:created>
  <dcterms:modified xsi:type="dcterms:W3CDTF">2026-09-30T18:59:42Z</dcterms:modified>
</cp:coreProperties>
</file>