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drapport månad" sheetId="1" state="visible" r:id="rId1"/>
  </sheets>
  <definedNames>
    <definedName name="_xlnm.Print_Area" localSheetId="0">'Tidrapport månad'!$A$1:$L$56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"/>
    <numFmt numFmtId="165" formatCode="yyyy-mm-dd"/>
    <numFmt numFmtId="166" formatCode="hh:mm"/>
    <numFmt numFmtId="167" formatCode="#,##0.00 &quot;kr&quot;"/>
  </numFmts>
  <fonts count="9">
    <font>
      <name val="Calibri"/>
      <family val="2"/>
      <color theme="1"/>
      <sz val="11"/>
      <scheme val="minor"/>
    </font>
    <font>
      <b val="1"/>
      <color rgb="001F1B16"/>
      <sz val="18"/>
    </font>
    <font>
      <i val="1"/>
      <color rgb="006B645B"/>
    </font>
    <font>
      <b val="1"/>
    </font>
    <font>
      <b val="1"/>
      <color rgb="001976D2"/>
    </font>
    <font>
      <i val="1"/>
      <color rgb="006B645B"/>
      <sz val="9"/>
    </font>
    <font>
      <b val="1"/>
      <color rgb="00FFFFFF"/>
    </font>
    <font/>
    <font>
      <i val="1"/>
      <color rgb="001976D2"/>
    </font>
  </fonts>
  <fills count="5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1976D2"/>
      </patternFill>
    </fill>
    <fill>
      <patternFill patternType="solid">
        <fgColor rgb="00F3EFE8"/>
      </patternFill>
    </fill>
  </fills>
  <borders count="6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  <border>
      <left/>
      <right/>
      <top style="thin">
        <color rgb="00C9C2B8"/>
      </top>
      <bottom/>
      <diagonal/>
    </border>
    <border>
      <left/>
      <right style="thin">
        <color rgb="00C9C2B8"/>
      </right>
      <top style="thin">
        <color rgb="00C9C2B8"/>
      </top>
      <bottom/>
      <diagonal/>
    </border>
    <border>
      <left/>
      <right/>
      <top style="thin">
        <color rgb="00C9C2B8"/>
      </top>
      <bottom style="thin">
        <color rgb="00C9C2B8"/>
      </bottom>
      <diagonal/>
    </border>
    <border>
      <left/>
      <right style="thin">
        <color rgb="00C9C2B8"/>
      </right>
      <top style="thin">
        <color rgb="00C9C2B8"/>
      </top>
      <bottom style="thin">
        <color rgb="00C9C2B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4" fontId="0" fillId="2" borderId="1" pivotButton="0" quotePrefix="0" xfId="0"/>
    <xf numFmtId="1" fontId="0" fillId="2" borderId="1" pivotButton="0" quotePrefix="0" xfId="0"/>
    <xf numFmtId="0" fontId="3" fillId="0" borderId="0" applyAlignment="1" pivotButton="0" quotePrefix="0" xfId="0">
      <alignment wrapText="1"/>
    </xf>
    <xf numFmtId="164" fontId="0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3" fillId="4" borderId="1" pivotButton="0" quotePrefix="0" xfId="0"/>
    <xf numFmtId="0" fontId="7" fillId="0" borderId="0" pivotButton="0" quotePrefix="0" xfId="0"/>
    <xf numFmtId="167" fontId="7" fillId="0" borderId="1" pivotButton="0" quotePrefix="0" xfId="0"/>
    <xf numFmtId="167" fontId="3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9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30" customWidth="1" min="12" max="12"/>
  </cols>
  <sheetData>
    <row r="1">
      <c r="A1" s="1" t="inlineStr">
        <is>
          <t>Tidrapport – månad</t>
        </is>
      </c>
    </row>
    <row r="2">
      <c r="A2" s="2" t="inlineStr">
        <is>
          <t>Fyll i de ljusblå fälten. Datum, veckodag, timmar och lön räknas ut automatiskt. OB-timmarna skriver du själv enligt ditt avtal.</t>
        </is>
      </c>
    </row>
    <row r="3">
      <c r="G3" s="3" t="inlineStr">
        <is>
          <t>Lön och tillägg</t>
        </is>
      </c>
      <c r="I3" s="4" t="inlineStr">
        <is>
          <t>%</t>
        </is>
      </c>
      <c r="J3" s="4" t="inlineStr">
        <is>
          <t>eller kr/tim</t>
        </is>
      </c>
    </row>
    <row r="4">
      <c r="A4" s="5" t="inlineStr">
        <is>
          <t>Namn</t>
        </is>
      </c>
      <c r="C4" s="6" t="n"/>
      <c r="D4" s="7" t="n"/>
      <c r="E4" s="8" t="n"/>
      <c r="G4" s="5" t="inlineStr">
        <is>
          <t>Timlön (kr)</t>
        </is>
      </c>
      <c r="I4" s="9" t="n"/>
      <c r="J4" s="8" t="n"/>
    </row>
    <row r="5">
      <c r="A5" s="5" t="inlineStr">
        <is>
          <t>Arbetsgivare</t>
        </is>
      </c>
      <c r="C5" s="6" t="n"/>
      <c r="D5" s="7" t="n"/>
      <c r="E5" s="8" t="n"/>
      <c r="G5" s="5" t="inlineStr">
        <is>
          <t>OB kväll</t>
        </is>
      </c>
      <c r="I5" s="10" t="n">
        <v>50</v>
      </c>
      <c r="J5" s="9" t="n"/>
    </row>
    <row r="6" ht="30" customHeight="1">
      <c r="A6" s="11" t="inlineStr">
        <is>
          <t>Månad (valfritt datum i månaden)</t>
        </is>
      </c>
      <c r="C6" s="12" t="n"/>
      <c r="D6" s="7" t="n"/>
      <c r="E6" s="8" t="n"/>
      <c r="G6" s="5" t="inlineStr">
        <is>
          <t>OB natt</t>
        </is>
      </c>
      <c r="I6" s="10" t="n">
        <v>70</v>
      </c>
      <c r="J6" s="9" t="n"/>
    </row>
    <row r="7">
      <c r="G7" s="5" t="inlineStr">
        <is>
          <t>OB helg</t>
        </is>
      </c>
      <c r="I7" s="10" t="n">
        <v>100</v>
      </c>
      <c r="J7" s="9" t="n"/>
    </row>
    <row r="8">
      <c r="G8" s="5" t="inlineStr">
        <is>
          <t>Övertid</t>
        </is>
      </c>
      <c r="I8" s="10" t="n">
        <v>50</v>
      </c>
      <c r="J8" s="9" t="n"/>
    </row>
    <row r="9">
      <c r="G9" s="13" t="inlineStr">
        <is>
          <t>Procentsatserna är exempel – byt till ditt avtals.</t>
        </is>
      </c>
    </row>
    <row r="11" ht="30" customHeight="1">
      <c r="A11" s="14" t="inlineStr">
        <is>
          <t>Datum</t>
        </is>
      </c>
      <c r="B11" s="14" t="inlineStr">
        <is>
          <t>Dag</t>
        </is>
      </c>
      <c r="C11" s="14" t="inlineStr">
        <is>
          <t>Start</t>
        </is>
      </c>
      <c r="D11" s="14" t="inlineStr">
        <is>
          <t>Slut</t>
        </is>
      </c>
      <c r="E11" s="14" t="inlineStr">
        <is>
          <t>Rast (min)</t>
        </is>
      </c>
      <c r="F11" s="14" t="inlineStr">
        <is>
          <t>Arbetade tim</t>
        </is>
      </c>
      <c r="G11" s="14" t="inlineStr">
        <is>
          <t>OB kväll tim</t>
        </is>
      </c>
      <c r="H11" s="14" t="inlineStr">
        <is>
          <t>OB natt tim</t>
        </is>
      </c>
      <c r="I11" s="14" t="inlineStr">
        <is>
          <t>OB helg tim</t>
        </is>
      </c>
      <c r="J11" s="14" t="inlineStr">
        <is>
          <t>Övertid tim</t>
        </is>
      </c>
      <c r="K11" s="14" t="inlineStr">
        <is>
          <t>Frånvaro</t>
        </is>
      </c>
      <c r="L11" s="14" t="inlineStr">
        <is>
          <t>Anteckning</t>
        </is>
      </c>
    </row>
    <row r="12">
      <c r="A12" s="15">
        <f>IF($C$6="","",IF(MONTH(DATE(YEAR($C$6),MONTH($C$6),1)+0)=MONTH($C$6),DATE(YEAR($C$6),MONTH($C$6),1)+0,""))</f>
        <v/>
      </c>
      <c r="B12" s="16">
        <f>IF(A12="","",CHOOSE(WEEKDAY(A12,2),"mån","tis","ons","tor","fre","lör","sön"))</f>
        <v/>
      </c>
      <c r="C12" s="17" t="n"/>
      <c r="D12" s="17" t="n"/>
      <c r="E12" s="18" t="n"/>
      <c r="F12" s="19">
        <f>IF(OR(C12="",D12=""),"",ROUND(MOD(D12-C12,1)*24-N(E12)/60,2))</f>
        <v/>
      </c>
      <c r="G12" s="20" t="n"/>
      <c r="H12" s="20" t="n"/>
      <c r="I12" s="20" t="n"/>
      <c r="J12" s="20" t="n"/>
      <c r="K12" s="18" t="n"/>
      <c r="L12" s="6" t="n"/>
    </row>
    <row r="13">
      <c r="A13" s="15">
        <f>IF($C$6="","",IF(MONTH(DATE(YEAR($C$6),MONTH($C$6),1)+1)=MONTH($C$6),DATE(YEAR($C$6),MONTH($C$6),1)+1,""))</f>
        <v/>
      </c>
      <c r="B13" s="16">
        <f>IF(A13="","",CHOOSE(WEEKDAY(A13,2),"mån","tis","ons","tor","fre","lör","sön"))</f>
        <v/>
      </c>
      <c r="C13" s="17" t="n"/>
      <c r="D13" s="17" t="n"/>
      <c r="E13" s="18" t="n"/>
      <c r="F13" s="19">
        <f>IF(OR(C13="",D13=""),"",ROUND(MOD(D13-C13,1)*24-N(E13)/60,2))</f>
        <v/>
      </c>
      <c r="G13" s="20" t="n"/>
      <c r="H13" s="20" t="n"/>
      <c r="I13" s="20" t="n"/>
      <c r="J13" s="20" t="n"/>
      <c r="K13" s="18" t="n"/>
      <c r="L13" s="6" t="n"/>
    </row>
    <row r="14">
      <c r="A14" s="15">
        <f>IF($C$6="","",IF(MONTH(DATE(YEAR($C$6),MONTH($C$6),1)+2)=MONTH($C$6),DATE(YEAR($C$6),MONTH($C$6),1)+2,""))</f>
        <v/>
      </c>
      <c r="B14" s="16">
        <f>IF(A14="","",CHOOSE(WEEKDAY(A14,2),"mån","tis","ons","tor","fre","lör","sön"))</f>
        <v/>
      </c>
      <c r="C14" s="17" t="n"/>
      <c r="D14" s="17" t="n"/>
      <c r="E14" s="18" t="n"/>
      <c r="F14" s="19">
        <f>IF(OR(C14="",D14=""),"",ROUND(MOD(D14-C14,1)*24-N(E14)/60,2))</f>
        <v/>
      </c>
      <c r="G14" s="20" t="n"/>
      <c r="H14" s="20" t="n"/>
      <c r="I14" s="20" t="n"/>
      <c r="J14" s="20" t="n"/>
      <c r="K14" s="18" t="n"/>
      <c r="L14" s="6" t="n"/>
    </row>
    <row r="15">
      <c r="A15" s="15">
        <f>IF($C$6="","",IF(MONTH(DATE(YEAR($C$6),MONTH($C$6),1)+3)=MONTH($C$6),DATE(YEAR($C$6),MONTH($C$6),1)+3,""))</f>
        <v/>
      </c>
      <c r="B15" s="16">
        <f>IF(A15="","",CHOOSE(WEEKDAY(A15,2),"mån","tis","ons","tor","fre","lör","sön"))</f>
        <v/>
      </c>
      <c r="C15" s="17" t="n"/>
      <c r="D15" s="17" t="n"/>
      <c r="E15" s="18" t="n"/>
      <c r="F15" s="19">
        <f>IF(OR(C15="",D15=""),"",ROUND(MOD(D15-C15,1)*24-N(E15)/60,2))</f>
        <v/>
      </c>
      <c r="G15" s="20" t="n"/>
      <c r="H15" s="20" t="n"/>
      <c r="I15" s="20" t="n"/>
      <c r="J15" s="20" t="n"/>
      <c r="K15" s="18" t="n"/>
      <c r="L15" s="6" t="n"/>
    </row>
    <row r="16">
      <c r="A16" s="15">
        <f>IF($C$6="","",IF(MONTH(DATE(YEAR($C$6),MONTH($C$6),1)+4)=MONTH($C$6),DATE(YEAR($C$6),MONTH($C$6),1)+4,""))</f>
        <v/>
      </c>
      <c r="B16" s="16">
        <f>IF(A16="","",CHOOSE(WEEKDAY(A16,2),"mån","tis","ons","tor","fre","lör","sön"))</f>
        <v/>
      </c>
      <c r="C16" s="17" t="n"/>
      <c r="D16" s="17" t="n"/>
      <c r="E16" s="18" t="n"/>
      <c r="F16" s="19">
        <f>IF(OR(C16="",D16=""),"",ROUND(MOD(D16-C16,1)*24-N(E16)/60,2))</f>
        <v/>
      </c>
      <c r="G16" s="20" t="n"/>
      <c r="H16" s="20" t="n"/>
      <c r="I16" s="20" t="n"/>
      <c r="J16" s="20" t="n"/>
      <c r="K16" s="18" t="n"/>
      <c r="L16" s="6" t="n"/>
    </row>
    <row r="17">
      <c r="A17" s="15">
        <f>IF($C$6="","",IF(MONTH(DATE(YEAR($C$6),MONTH($C$6),1)+5)=MONTH($C$6),DATE(YEAR($C$6),MONTH($C$6),1)+5,""))</f>
        <v/>
      </c>
      <c r="B17" s="16">
        <f>IF(A17="","",CHOOSE(WEEKDAY(A17,2),"mån","tis","ons","tor","fre","lör","sön"))</f>
        <v/>
      </c>
      <c r="C17" s="17" t="n"/>
      <c r="D17" s="17" t="n"/>
      <c r="E17" s="18" t="n"/>
      <c r="F17" s="19">
        <f>IF(OR(C17="",D17=""),"",ROUND(MOD(D17-C17,1)*24-N(E17)/60,2))</f>
        <v/>
      </c>
      <c r="G17" s="20" t="n"/>
      <c r="H17" s="20" t="n"/>
      <c r="I17" s="20" t="n"/>
      <c r="J17" s="20" t="n"/>
      <c r="K17" s="18" t="n"/>
      <c r="L17" s="6" t="n"/>
    </row>
    <row r="18">
      <c r="A18" s="15">
        <f>IF($C$6="","",IF(MONTH(DATE(YEAR($C$6),MONTH($C$6),1)+6)=MONTH($C$6),DATE(YEAR($C$6),MONTH($C$6),1)+6,""))</f>
        <v/>
      </c>
      <c r="B18" s="16">
        <f>IF(A18="","",CHOOSE(WEEKDAY(A18,2),"mån","tis","ons","tor","fre","lör","sön"))</f>
        <v/>
      </c>
      <c r="C18" s="17" t="n"/>
      <c r="D18" s="17" t="n"/>
      <c r="E18" s="18" t="n"/>
      <c r="F18" s="19">
        <f>IF(OR(C18="",D18=""),"",ROUND(MOD(D18-C18,1)*24-N(E18)/60,2))</f>
        <v/>
      </c>
      <c r="G18" s="20" t="n"/>
      <c r="H18" s="20" t="n"/>
      <c r="I18" s="20" t="n"/>
      <c r="J18" s="20" t="n"/>
      <c r="K18" s="18" t="n"/>
      <c r="L18" s="6" t="n"/>
    </row>
    <row r="19">
      <c r="A19" s="15">
        <f>IF($C$6="","",IF(MONTH(DATE(YEAR($C$6),MONTH($C$6),1)+7)=MONTH($C$6),DATE(YEAR($C$6),MONTH($C$6),1)+7,""))</f>
        <v/>
      </c>
      <c r="B19" s="16">
        <f>IF(A19="","",CHOOSE(WEEKDAY(A19,2),"mån","tis","ons","tor","fre","lör","sön"))</f>
        <v/>
      </c>
      <c r="C19" s="17" t="n"/>
      <c r="D19" s="17" t="n"/>
      <c r="E19" s="18" t="n"/>
      <c r="F19" s="19">
        <f>IF(OR(C19="",D19=""),"",ROUND(MOD(D19-C19,1)*24-N(E19)/60,2))</f>
        <v/>
      </c>
      <c r="G19" s="20" t="n"/>
      <c r="H19" s="20" t="n"/>
      <c r="I19" s="20" t="n"/>
      <c r="J19" s="20" t="n"/>
      <c r="K19" s="18" t="n"/>
      <c r="L19" s="6" t="n"/>
    </row>
    <row r="20">
      <c r="A20" s="15">
        <f>IF($C$6="","",IF(MONTH(DATE(YEAR($C$6),MONTH($C$6),1)+8)=MONTH($C$6),DATE(YEAR($C$6),MONTH($C$6),1)+8,""))</f>
        <v/>
      </c>
      <c r="B20" s="16">
        <f>IF(A20="","",CHOOSE(WEEKDAY(A20,2),"mån","tis","ons","tor","fre","lör","sön"))</f>
        <v/>
      </c>
      <c r="C20" s="17" t="n"/>
      <c r="D20" s="17" t="n"/>
      <c r="E20" s="18" t="n"/>
      <c r="F20" s="19">
        <f>IF(OR(C20="",D20=""),"",ROUND(MOD(D20-C20,1)*24-N(E20)/60,2))</f>
        <v/>
      </c>
      <c r="G20" s="20" t="n"/>
      <c r="H20" s="20" t="n"/>
      <c r="I20" s="20" t="n"/>
      <c r="J20" s="20" t="n"/>
      <c r="K20" s="18" t="n"/>
      <c r="L20" s="6" t="n"/>
    </row>
    <row r="21">
      <c r="A21" s="15">
        <f>IF($C$6="","",IF(MONTH(DATE(YEAR($C$6),MONTH($C$6),1)+9)=MONTH($C$6),DATE(YEAR($C$6),MONTH($C$6),1)+9,""))</f>
        <v/>
      </c>
      <c r="B21" s="16">
        <f>IF(A21="","",CHOOSE(WEEKDAY(A21,2),"mån","tis","ons","tor","fre","lör","sön"))</f>
        <v/>
      </c>
      <c r="C21" s="17" t="n"/>
      <c r="D21" s="17" t="n"/>
      <c r="E21" s="18" t="n"/>
      <c r="F21" s="19">
        <f>IF(OR(C21="",D21=""),"",ROUND(MOD(D21-C21,1)*24-N(E21)/60,2))</f>
        <v/>
      </c>
      <c r="G21" s="20" t="n"/>
      <c r="H21" s="20" t="n"/>
      <c r="I21" s="20" t="n"/>
      <c r="J21" s="20" t="n"/>
      <c r="K21" s="18" t="n"/>
      <c r="L21" s="6" t="n"/>
    </row>
    <row r="22">
      <c r="A22" s="15">
        <f>IF($C$6="","",IF(MONTH(DATE(YEAR($C$6),MONTH($C$6),1)+10)=MONTH($C$6),DATE(YEAR($C$6),MONTH($C$6),1)+10,""))</f>
        <v/>
      </c>
      <c r="B22" s="16">
        <f>IF(A22="","",CHOOSE(WEEKDAY(A22,2),"mån","tis","ons","tor","fre","lör","sön"))</f>
        <v/>
      </c>
      <c r="C22" s="17" t="n"/>
      <c r="D22" s="17" t="n"/>
      <c r="E22" s="18" t="n"/>
      <c r="F22" s="19">
        <f>IF(OR(C22="",D22=""),"",ROUND(MOD(D22-C22,1)*24-N(E22)/60,2))</f>
        <v/>
      </c>
      <c r="G22" s="20" t="n"/>
      <c r="H22" s="20" t="n"/>
      <c r="I22" s="20" t="n"/>
      <c r="J22" s="20" t="n"/>
      <c r="K22" s="18" t="n"/>
      <c r="L22" s="6" t="n"/>
    </row>
    <row r="23">
      <c r="A23" s="15">
        <f>IF($C$6="","",IF(MONTH(DATE(YEAR($C$6),MONTH($C$6),1)+11)=MONTH($C$6),DATE(YEAR($C$6),MONTH($C$6),1)+11,""))</f>
        <v/>
      </c>
      <c r="B23" s="16">
        <f>IF(A23="","",CHOOSE(WEEKDAY(A23,2),"mån","tis","ons","tor","fre","lör","sön"))</f>
        <v/>
      </c>
      <c r="C23" s="17" t="n"/>
      <c r="D23" s="17" t="n"/>
      <c r="E23" s="18" t="n"/>
      <c r="F23" s="19">
        <f>IF(OR(C23="",D23=""),"",ROUND(MOD(D23-C23,1)*24-N(E23)/60,2))</f>
        <v/>
      </c>
      <c r="G23" s="20" t="n"/>
      <c r="H23" s="20" t="n"/>
      <c r="I23" s="20" t="n"/>
      <c r="J23" s="20" t="n"/>
      <c r="K23" s="18" t="n"/>
      <c r="L23" s="6" t="n"/>
    </row>
    <row r="24">
      <c r="A24" s="15">
        <f>IF($C$6="","",IF(MONTH(DATE(YEAR($C$6),MONTH($C$6),1)+12)=MONTH($C$6),DATE(YEAR($C$6),MONTH($C$6),1)+12,""))</f>
        <v/>
      </c>
      <c r="B24" s="16">
        <f>IF(A24="","",CHOOSE(WEEKDAY(A24,2),"mån","tis","ons","tor","fre","lör","sön"))</f>
        <v/>
      </c>
      <c r="C24" s="17" t="n"/>
      <c r="D24" s="17" t="n"/>
      <c r="E24" s="18" t="n"/>
      <c r="F24" s="19">
        <f>IF(OR(C24="",D24=""),"",ROUND(MOD(D24-C24,1)*24-N(E24)/60,2))</f>
        <v/>
      </c>
      <c r="G24" s="20" t="n"/>
      <c r="H24" s="20" t="n"/>
      <c r="I24" s="20" t="n"/>
      <c r="J24" s="20" t="n"/>
      <c r="K24" s="18" t="n"/>
      <c r="L24" s="6" t="n"/>
    </row>
    <row r="25">
      <c r="A25" s="15">
        <f>IF($C$6="","",IF(MONTH(DATE(YEAR($C$6),MONTH($C$6),1)+13)=MONTH($C$6),DATE(YEAR($C$6),MONTH($C$6),1)+13,""))</f>
        <v/>
      </c>
      <c r="B25" s="16">
        <f>IF(A25="","",CHOOSE(WEEKDAY(A25,2),"mån","tis","ons","tor","fre","lör","sön"))</f>
        <v/>
      </c>
      <c r="C25" s="17" t="n"/>
      <c r="D25" s="17" t="n"/>
      <c r="E25" s="18" t="n"/>
      <c r="F25" s="19">
        <f>IF(OR(C25="",D25=""),"",ROUND(MOD(D25-C25,1)*24-N(E25)/60,2))</f>
        <v/>
      </c>
      <c r="G25" s="20" t="n"/>
      <c r="H25" s="20" t="n"/>
      <c r="I25" s="20" t="n"/>
      <c r="J25" s="20" t="n"/>
      <c r="K25" s="18" t="n"/>
      <c r="L25" s="6" t="n"/>
    </row>
    <row r="26">
      <c r="A26" s="15">
        <f>IF($C$6="","",IF(MONTH(DATE(YEAR($C$6),MONTH($C$6),1)+14)=MONTH($C$6),DATE(YEAR($C$6),MONTH($C$6),1)+14,""))</f>
        <v/>
      </c>
      <c r="B26" s="16">
        <f>IF(A26="","",CHOOSE(WEEKDAY(A26,2),"mån","tis","ons","tor","fre","lör","sön"))</f>
        <v/>
      </c>
      <c r="C26" s="17" t="n"/>
      <c r="D26" s="17" t="n"/>
      <c r="E26" s="18" t="n"/>
      <c r="F26" s="19">
        <f>IF(OR(C26="",D26=""),"",ROUND(MOD(D26-C26,1)*24-N(E26)/60,2))</f>
        <v/>
      </c>
      <c r="G26" s="20" t="n"/>
      <c r="H26" s="20" t="n"/>
      <c r="I26" s="20" t="n"/>
      <c r="J26" s="20" t="n"/>
      <c r="K26" s="18" t="n"/>
      <c r="L26" s="6" t="n"/>
    </row>
    <row r="27">
      <c r="A27" s="15">
        <f>IF($C$6="","",IF(MONTH(DATE(YEAR($C$6),MONTH($C$6),1)+15)=MONTH($C$6),DATE(YEAR($C$6),MONTH($C$6),1)+15,""))</f>
        <v/>
      </c>
      <c r="B27" s="16">
        <f>IF(A27="","",CHOOSE(WEEKDAY(A27,2),"mån","tis","ons","tor","fre","lör","sön"))</f>
        <v/>
      </c>
      <c r="C27" s="17" t="n"/>
      <c r="D27" s="17" t="n"/>
      <c r="E27" s="18" t="n"/>
      <c r="F27" s="19">
        <f>IF(OR(C27="",D27=""),"",ROUND(MOD(D27-C27,1)*24-N(E27)/60,2))</f>
        <v/>
      </c>
      <c r="G27" s="20" t="n"/>
      <c r="H27" s="20" t="n"/>
      <c r="I27" s="20" t="n"/>
      <c r="J27" s="20" t="n"/>
      <c r="K27" s="18" t="n"/>
      <c r="L27" s="6" t="n"/>
    </row>
    <row r="28">
      <c r="A28" s="15">
        <f>IF($C$6="","",IF(MONTH(DATE(YEAR($C$6),MONTH($C$6),1)+16)=MONTH($C$6),DATE(YEAR($C$6),MONTH($C$6),1)+16,""))</f>
        <v/>
      </c>
      <c r="B28" s="16">
        <f>IF(A28="","",CHOOSE(WEEKDAY(A28,2),"mån","tis","ons","tor","fre","lör","sön"))</f>
        <v/>
      </c>
      <c r="C28" s="17" t="n"/>
      <c r="D28" s="17" t="n"/>
      <c r="E28" s="18" t="n"/>
      <c r="F28" s="19">
        <f>IF(OR(C28="",D28=""),"",ROUND(MOD(D28-C28,1)*24-N(E28)/60,2))</f>
        <v/>
      </c>
      <c r="G28" s="20" t="n"/>
      <c r="H28" s="20" t="n"/>
      <c r="I28" s="20" t="n"/>
      <c r="J28" s="20" t="n"/>
      <c r="K28" s="18" t="n"/>
      <c r="L28" s="6" t="n"/>
    </row>
    <row r="29">
      <c r="A29" s="15">
        <f>IF($C$6="","",IF(MONTH(DATE(YEAR($C$6),MONTH($C$6),1)+17)=MONTH($C$6),DATE(YEAR($C$6),MONTH($C$6),1)+17,""))</f>
        <v/>
      </c>
      <c r="B29" s="16">
        <f>IF(A29="","",CHOOSE(WEEKDAY(A29,2),"mån","tis","ons","tor","fre","lör","sön"))</f>
        <v/>
      </c>
      <c r="C29" s="17" t="n"/>
      <c r="D29" s="17" t="n"/>
      <c r="E29" s="18" t="n"/>
      <c r="F29" s="19">
        <f>IF(OR(C29="",D29=""),"",ROUND(MOD(D29-C29,1)*24-N(E29)/60,2))</f>
        <v/>
      </c>
      <c r="G29" s="20" t="n"/>
      <c r="H29" s="20" t="n"/>
      <c r="I29" s="20" t="n"/>
      <c r="J29" s="20" t="n"/>
      <c r="K29" s="18" t="n"/>
      <c r="L29" s="6" t="n"/>
    </row>
    <row r="30">
      <c r="A30" s="15">
        <f>IF($C$6="","",IF(MONTH(DATE(YEAR($C$6),MONTH($C$6),1)+18)=MONTH($C$6),DATE(YEAR($C$6),MONTH($C$6),1)+18,""))</f>
        <v/>
      </c>
      <c r="B30" s="16">
        <f>IF(A30="","",CHOOSE(WEEKDAY(A30,2),"mån","tis","ons","tor","fre","lör","sön"))</f>
        <v/>
      </c>
      <c r="C30" s="17" t="n"/>
      <c r="D30" s="17" t="n"/>
      <c r="E30" s="18" t="n"/>
      <c r="F30" s="19">
        <f>IF(OR(C30="",D30=""),"",ROUND(MOD(D30-C30,1)*24-N(E30)/60,2))</f>
        <v/>
      </c>
      <c r="G30" s="20" t="n"/>
      <c r="H30" s="20" t="n"/>
      <c r="I30" s="20" t="n"/>
      <c r="J30" s="20" t="n"/>
      <c r="K30" s="18" t="n"/>
      <c r="L30" s="6" t="n"/>
    </row>
    <row r="31">
      <c r="A31" s="15">
        <f>IF($C$6="","",IF(MONTH(DATE(YEAR($C$6),MONTH($C$6),1)+19)=MONTH($C$6),DATE(YEAR($C$6),MONTH($C$6),1)+19,""))</f>
        <v/>
      </c>
      <c r="B31" s="16">
        <f>IF(A31="","",CHOOSE(WEEKDAY(A31,2),"mån","tis","ons","tor","fre","lör","sön"))</f>
        <v/>
      </c>
      <c r="C31" s="17" t="n"/>
      <c r="D31" s="17" t="n"/>
      <c r="E31" s="18" t="n"/>
      <c r="F31" s="19">
        <f>IF(OR(C31="",D31=""),"",ROUND(MOD(D31-C31,1)*24-N(E31)/60,2))</f>
        <v/>
      </c>
      <c r="G31" s="20" t="n"/>
      <c r="H31" s="20" t="n"/>
      <c r="I31" s="20" t="n"/>
      <c r="J31" s="20" t="n"/>
      <c r="K31" s="18" t="n"/>
      <c r="L31" s="6" t="n"/>
    </row>
    <row r="32">
      <c r="A32" s="15">
        <f>IF($C$6="","",IF(MONTH(DATE(YEAR($C$6),MONTH($C$6),1)+20)=MONTH($C$6),DATE(YEAR($C$6),MONTH($C$6),1)+20,""))</f>
        <v/>
      </c>
      <c r="B32" s="16">
        <f>IF(A32="","",CHOOSE(WEEKDAY(A32,2),"mån","tis","ons","tor","fre","lör","sön"))</f>
        <v/>
      </c>
      <c r="C32" s="17" t="n"/>
      <c r="D32" s="17" t="n"/>
      <c r="E32" s="18" t="n"/>
      <c r="F32" s="19">
        <f>IF(OR(C32="",D32=""),"",ROUND(MOD(D32-C32,1)*24-N(E32)/60,2))</f>
        <v/>
      </c>
      <c r="G32" s="20" t="n"/>
      <c r="H32" s="20" t="n"/>
      <c r="I32" s="20" t="n"/>
      <c r="J32" s="20" t="n"/>
      <c r="K32" s="18" t="n"/>
      <c r="L32" s="6" t="n"/>
    </row>
    <row r="33">
      <c r="A33" s="15">
        <f>IF($C$6="","",IF(MONTH(DATE(YEAR($C$6),MONTH($C$6),1)+21)=MONTH($C$6),DATE(YEAR($C$6),MONTH($C$6),1)+21,""))</f>
        <v/>
      </c>
      <c r="B33" s="16">
        <f>IF(A33="","",CHOOSE(WEEKDAY(A33,2),"mån","tis","ons","tor","fre","lör","sön"))</f>
        <v/>
      </c>
      <c r="C33" s="17" t="n"/>
      <c r="D33" s="17" t="n"/>
      <c r="E33" s="18" t="n"/>
      <c r="F33" s="19">
        <f>IF(OR(C33="",D33=""),"",ROUND(MOD(D33-C33,1)*24-N(E33)/60,2))</f>
        <v/>
      </c>
      <c r="G33" s="20" t="n"/>
      <c r="H33" s="20" t="n"/>
      <c r="I33" s="20" t="n"/>
      <c r="J33" s="20" t="n"/>
      <c r="K33" s="18" t="n"/>
      <c r="L33" s="6" t="n"/>
    </row>
    <row r="34">
      <c r="A34" s="15">
        <f>IF($C$6="","",IF(MONTH(DATE(YEAR($C$6),MONTH($C$6),1)+22)=MONTH($C$6),DATE(YEAR($C$6),MONTH($C$6),1)+22,""))</f>
        <v/>
      </c>
      <c r="B34" s="16">
        <f>IF(A34="","",CHOOSE(WEEKDAY(A34,2),"mån","tis","ons","tor","fre","lör","sön"))</f>
        <v/>
      </c>
      <c r="C34" s="17" t="n"/>
      <c r="D34" s="17" t="n"/>
      <c r="E34" s="18" t="n"/>
      <c r="F34" s="19">
        <f>IF(OR(C34="",D34=""),"",ROUND(MOD(D34-C34,1)*24-N(E34)/60,2))</f>
        <v/>
      </c>
      <c r="G34" s="20" t="n"/>
      <c r="H34" s="20" t="n"/>
      <c r="I34" s="20" t="n"/>
      <c r="J34" s="20" t="n"/>
      <c r="K34" s="18" t="n"/>
      <c r="L34" s="6" t="n"/>
    </row>
    <row r="35">
      <c r="A35" s="15">
        <f>IF($C$6="","",IF(MONTH(DATE(YEAR($C$6),MONTH($C$6),1)+23)=MONTH($C$6),DATE(YEAR($C$6),MONTH($C$6),1)+23,""))</f>
        <v/>
      </c>
      <c r="B35" s="16">
        <f>IF(A35="","",CHOOSE(WEEKDAY(A35,2),"mån","tis","ons","tor","fre","lör","sön"))</f>
        <v/>
      </c>
      <c r="C35" s="17" t="n"/>
      <c r="D35" s="17" t="n"/>
      <c r="E35" s="18" t="n"/>
      <c r="F35" s="19">
        <f>IF(OR(C35="",D35=""),"",ROUND(MOD(D35-C35,1)*24-N(E35)/60,2))</f>
        <v/>
      </c>
      <c r="G35" s="20" t="n"/>
      <c r="H35" s="20" t="n"/>
      <c r="I35" s="20" t="n"/>
      <c r="J35" s="20" t="n"/>
      <c r="K35" s="18" t="n"/>
      <c r="L35" s="6" t="n"/>
    </row>
    <row r="36">
      <c r="A36" s="15">
        <f>IF($C$6="","",IF(MONTH(DATE(YEAR($C$6),MONTH($C$6),1)+24)=MONTH($C$6),DATE(YEAR($C$6),MONTH($C$6),1)+24,""))</f>
        <v/>
      </c>
      <c r="B36" s="16">
        <f>IF(A36="","",CHOOSE(WEEKDAY(A36,2),"mån","tis","ons","tor","fre","lör","sön"))</f>
        <v/>
      </c>
      <c r="C36" s="17" t="n"/>
      <c r="D36" s="17" t="n"/>
      <c r="E36" s="18" t="n"/>
      <c r="F36" s="19">
        <f>IF(OR(C36="",D36=""),"",ROUND(MOD(D36-C36,1)*24-N(E36)/60,2))</f>
        <v/>
      </c>
      <c r="G36" s="20" t="n"/>
      <c r="H36" s="20" t="n"/>
      <c r="I36" s="20" t="n"/>
      <c r="J36" s="20" t="n"/>
      <c r="K36" s="18" t="n"/>
      <c r="L36" s="6" t="n"/>
    </row>
    <row r="37">
      <c r="A37" s="15">
        <f>IF($C$6="","",IF(MONTH(DATE(YEAR($C$6),MONTH($C$6),1)+25)=MONTH($C$6),DATE(YEAR($C$6),MONTH($C$6),1)+25,""))</f>
        <v/>
      </c>
      <c r="B37" s="16">
        <f>IF(A37="","",CHOOSE(WEEKDAY(A37,2),"mån","tis","ons","tor","fre","lör","sön"))</f>
        <v/>
      </c>
      <c r="C37" s="17" t="n"/>
      <c r="D37" s="17" t="n"/>
      <c r="E37" s="18" t="n"/>
      <c r="F37" s="19">
        <f>IF(OR(C37="",D37=""),"",ROUND(MOD(D37-C37,1)*24-N(E37)/60,2))</f>
        <v/>
      </c>
      <c r="G37" s="20" t="n"/>
      <c r="H37" s="20" t="n"/>
      <c r="I37" s="20" t="n"/>
      <c r="J37" s="20" t="n"/>
      <c r="K37" s="18" t="n"/>
      <c r="L37" s="6" t="n"/>
    </row>
    <row r="38">
      <c r="A38" s="15">
        <f>IF($C$6="","",IF(MONTH(DATE(YEAR($C$6),MONTH($C$6),1)+26)=MONTH($C$6),DATE(YEAR($C$6),MONTH($C$6),1)+26,""))</f>
        <v/>
      </c>
      <c r="B38" s="16">
        <f>IF(A38="","",CHOOSE(WEEKDAY(A38,2),"mån","tis","ons","tor","fre","lör","sön"))</f>
        <v/>
      </c>
      <c r="C38" s="17" t="n"/>
      <c r="D38" s="17" t="n"/>
      <c r="E38" s="18" t="n"/>
      <c r="F38" s="19">
        <f>IF(OR(C38="",D38=""),"",ROUND(MOD(D38-C38,1)*24-N(E38)/60,2))</f>
        <v/>
      </c>
      <c r="G38" s="20" t="n"/>
      <c r="H38" s="20" t="n"/>
      <c r="I38" s="20" t="n"/>
      <c r="J38" s="20" t="n"/>
      <c r="K38" s="18" t="n"/>
      <c r="L38" s="6" t="n"/>
    </row>
    <row r="39">
      <c r="A39" s="15">
        <f>IF($C$6="","",IF(MONTH(DATE(YEAR($C$6),MONTH($C$6),1)+27)=MONTH($C$6),DATE(YEAR($C$6),MONTH($C$6),1)+27,""))</f>
        <v/>
      </c>
      <c r="B39" s="16">
        <f>IF(A39="","",CHOOSE(WEEKDAY(A39,2),"mån","tis","ons","tor","fre","lör","sön"))</f>
        <v/>
      </c>
      <c r="C39" s="17" t="n"/>
      <c r="D39" s="17" t="n"/>
      <c r="E39" s="18" t="n"/>
      <c r="F39" s="19">
        <f>IF(OR(C39="",D39=""),"",ROUND(MOD(D39-C39,1)*24-N(E39)/60,2))</f>
        <v/>
      </c>
      <c r="G39" s="20" t="n"/>
      <c r="H39" s="20" t="n"/>
      <c r="I39" s="20" t="n"/>
      <c r="J39" s="20" t="n"/>
      <c r="K39" s="18" t="n"/>
      <c r="L39" s="6" t="n"/>
    </row>
    <row r="40">
      <c r="A40" s="15">
        <f>IF($C$6="","",IF(MONTH(DATE(YEAR($C$6),MONTH($C$6),1)+28)=MONTH($C$6),DATE(YEAR($C$6),MONTH($C$6),1)+28,""))</f>
        <v/>
      </c>
      <c r="B40" s="16">
        <f>IF(A40="","",CHOOSE(WEEKDAY(A40,2),"mån","tis","ons","tor","fre","lör","sön"))</f>
        <v/>
      </c>
      <c r="C40" s="17" t="n"/>
      <c r="D40" s="17" t="n"/>
      <c r="E40" s="18" t="n"/>
      <c r="F40" s="19">
        <f>IF(OR(C40="",D40=""),"",ROUND(MOD(D40-C40,1)*24-N(E40)/60,2))</f>
        <v/>
      </c>
      <c r="G40" s="20" t="n"/>
      <c r="H40" s="20" t="n"/>
      <c r="I40" s="20" t="n"/>
      <c r="J40" s="20" t="n"/>
      <c r="K40" s="18" t="n"/>
      <c r="L40" s="6" t="n"/>
    </row>
    <row r="41">
      <c r="A41" s="15">
        <f>IF($C$6="","",IF(MONTH(DATE(YEAR($C$6),MONTH($C$6),1)+29)=MONTH($C$6),DATE(YEAR($C$6),MONTH($C$6),1)+29,""))</f>
        <v/>
      </c>
      <c r="B41" s="16">
        <f>IF(A41="","",CHOOSE(WEEKDAY(A41,2),"mån","tis","ons","tor","fre","lör","sön"))</f>
        <v/>
      </c>
      <c r="C41" s="17" t="n"/>
      <c r="D41" s="17" t="n"/>
      <c r="E41" s="18" t="n"/>
      <c r="F41" s="19">
        <f>IF(OR(C41="",D41=""),"",ROUND(MOD(D41-C41,1)*24-N(E41)/60,2))</f>
        <v/>
      </c>
      <c r="G41" s="20" t="n"/>
      <c r="H41" s="20" t="n"/>
      <c r="I41" s="20" t="n"/>
      <c r="J41" s="20" t="n"/>
      <c r="K41" s="18" t="n"/>
      <c r="L41" s="6" t="n"/>
    </row>
    <row r="42">
      <c r="A42" s="15">
        <f>IF($C$6="","",IF(MONTH(DATE(YEAR($C$6),MONTH($C$6),1)+30)=MONTH($C$6),DATE(YEAR($C$6),MONTH($C$6),1)+30,""))</f>
        <v/>
      </c>
      <c r="B42" s="16">
        <f>IF(A42="","",CHOOSE(WEEKDAY(A42,2),"mån","tis","ons","tor","fre","lör","sön"))</f>
        <v/>
      </c>
      <c r="C42" s="17" t="n"/>
      <c r="D42" s="17" t="n"/>
      <c r="E42" s="18" t="n"/>
      <c r="F42" s="19">
        <f>IF(OR(C42="",D42=""),"",ROUND(MOD(D42-C42,1)*24-N(E42)/60,2))</f>
        <v/>
      </c>
      <c r="G42" s="20" t="n"/>
      <c r="H42" s="20" t="n"/>
      <c r="I42" s="20" t="n"/>
      <c r="J42" s="20" t="n"/>
      <c r="K42" s="18" t="n"/>
      <c r="L42" s="6" t="n"/>
    </row>
    <row r="43">
      <c r="A43" s="21" t="inlineStr">
        <is>
          <t>Summa</t>
        </is>
      </c>
      <c r="B43" s="21" t="n"/>
      <c r="C43" s="21" t="n"/>
      <c r="D43" s="21" t="n"/>
      <c r="E43" s="21" t="n"/>
      <c r="F43" s="22">
        <f>SUM(F12:F42)</f>
        <v/>
      </c>
      <c r="G43" s="22">
        <f>SUM(G12:G42)</f>
        <v/>
      </c>
      <c r="H43" s="22">
        <f>SUM(H12:H42)</f>
        <v/>
      </c>
      <c r="I43" s="22">
        <f>SUM(I12:I42)</f>
        <v/>
      </c>
      <c r="J43" s="22">
        <f>SUM(J12:J42)</f>
        <v/>
      </c>
      <c r="K43" s="21" t="n"/>
      <c r="L43" s="23" t="n"/>
    </row>
    <row r="45">
      <c r="A45" s="24" t="inlineStr">
        <is>
          <t>Grundlön (arbetade timmar × timlön)</t>
        </is>
      </c>
      <c r="F45" s="25">
        <f>IF($I$4="","",F43*$I$4)</f>
        <v/>
      </c>
    </row>
    <row r="46">
      <c r="A46" s="24" t="inlineStr">
        <is>
          <t>OB-tillägg kväll</t>
        </is>
      </c>
      <c r="F46" s="25">
        <f>IF($I$4="","",IF($J$5&lt;&gt;"",G43*$J$5,G43*$I$4*N($I$5)/100))</f>
        <v/>
      </c>
    </row>
    <row r="47">
      <c r="A47" s="24" t="inlineStr">
        <is>
          <t>OB-tillägg natt</t>
        </is>
      </c>
      <c r="F47" s="25">
        <f>IF($I$4="","",IF($J$6&lt;&gt;"",H43*$J$6,H43*$I$4*N($I$6)/100))</f>
        <v/>
      </c>
    </row>
    <row r="48">
      <c r="A48" s="24" t="inlineStr">
        <is>
          <t>OB-tillägg helg</t>
        </is>
      </c>
      <c r="F48" s="25">
        <f>IF($I$4="","",IF($J$7&lt;&gt;"",I43*$J$7,I43*$I$4*N($I$7)/100))</f>
        <v/>
      </c>
    </row>
    <row r="49">
      <c r="A49" s="24" t="inlineStr">
        <is>
          <t>Övertidstillägg</t>
        </is>
      </c>
      <c r="F49" s="25">
        <f>IF($I$4="","",IF($J$8&lt;&gt;"",J43*$J$8,J43*$I$4*N($I$8)/100))</f>
        <v/>
      </c>
    </row>
    <row r="50">
      <c r="A50" s="5" t="inlineStr">
        <is>
          <t>Summa före skatt</t>
        </is>
      </c>
      <c r="F50" s="26">
        <f>IF($I$4="","",SUM(F45:F49))</f>
        <v/>
      </c>
    </row>
    <row r="51">
      <c r="A51" s="13" t="inlineStr">
        <is>
          <t>Semesterersättning och skatt ingår inte. Övertidstillägget räknas utöver grundlönen för timmarna.</t>
        </is>
      </c>
    </row>
    <row r="53">
      <c r="A53" t="inlineStr">
        <is>
          <t>Underskrift anställd: ______________________      Attesterat av: ______________________</t>
        </is>
      </c>
    </row>
    <row r="55">
      <c r="A55" s="2" t="inlineStr">
        <is>
          <t>Tips: skriv tider som 07:30 och 16:00. Slutar passet efter midnatt räknas det ändå rätt.</t>
        </is>
      </c>
    </row>
    <row r="56">
      <c r="A56" s="27" t="inlineStr">
        <is>
          <t>Slipp mallen: appen Tidrapportera räknar OB och lön åt dig för varje pass – alexanderbergqvist.com/tidrapport/</t>
        </is>
      </c>
    </row>
  </sheetData>
  <mergeCells count="10">
    <mergeCell ref="A50:E50"/>
    <mergeCell ref="I4:J4"/>
    <mergeCell ref="A48:E48"/>
    <mergeCell ref="C5:E5"/>
    <mergeCell ref="A49:E49"/>
    <mergeCell ref="C4:E4"/>
    <mergeCell ref="A47:E47"/>
    <mergeCell ref="A45:E45"/>
    <mergeCell ref="A46:E46"/>
    <mergeCell ref="C6:E6"/>
  </mergeCells>
  <dataValidations count="2">
    <dataValidation sqref="E12:E42" showDropDown="0" showInputMessage="0" showErrorMessage="0" allowBlank="1" errorTitle="Rast" error="Ange rast i minuter, t.ex. 30." type="decimal" operator="between">
      <formula1>0</formula1>
      <formula2>600</formula2>
    </dataValidation>
    <dataValidation sqref="K12:K42" showDropDown="0" showInputMessage="0" showErrorMessage="0" allowBlank="1" type="list">
      <formula1>"Sjuk,VAB,Semester,Ledig,Föräldraledig,Annat"</formula1>
    </dataValidation>
  </dataValidation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Bergqvist</dc:creator>
  <dc:title>Tidrapport mall – månad</dc:title>
  <dcterms:created xsi:type="dcterms:W3CDTF">2026-10-20T20:20:35Z</dcterms:created>
  <dcterms:modified xsi:type="dcterms:W3CDTF">2026-10-20T20:20:35Z</dcterms:modified>
</cp:coreProperties>
</file>